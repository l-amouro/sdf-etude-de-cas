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AMDEC" sheetId="1" r:id="rId1"/>
    <sheet name="échelles" sheetId="2" r:id="rId2"/>
  </sheets>
  <definedNames>
    <definedName name="SeuilCritique">échelles!$B$18</definedName>
    <definedName name="SeuilSurveillance">échelles!$B$19</definedName>
    <definedName name="_xlnm.Print_Titles" localSheetId="0">AMDEC!$4:$5</definedName>
  </definedNames>
  <calcPr calcId="191029" iterateDelta="0.0001"/>
</workbook>
</file>

<file path=xl/sharedStrings.xml><?xml version="1.0" encoding="utf-8"?>
<sst xmlns="http://schemas.openxmlformats.org/spreadsheetml/2006/main" count="234" uniqueCount="179">
  <si>
    <t>AMDEC - Alimentation de secours des charges critiques</t>
  </si>
  <si>
    <t>Système : groupes électrogènes GE1/GE2 (cuve commune) · inverseur de sources · onduleur + batteries · jeu de barres  |  Cotation G × O × D, grilles dans l’onglet « échelles »</t>
  </si>
  <si>
    <t>Analyse fonctionnelle et modes de défaillance</t>
  </si>
  <si>
    <t>Cotation initiale</t>
  </si>
  <si>
    <t>Traitement</t>
  </si>
  <si>
    <t>Cotation après action</t>
  </si>
  <si>
    <t>N°</t>
  </si>
  <si>
    <t>Composant</t>
  </si>
  <si>
    <t>Fonction</t>
  </si>
  <si>
    <t>Mode de défaillance</t>
  </si>
  <si>
    <t>Cause(s)</t>
  </si>
  <si>
    <t>Effet local</t>
  </si>
  <si>
    <t>Effet système</t>
  </si>
  <si>
    <t>Moyen de détection</t>
  </si>
  <si>
    <t>G</t>
  </si>
  <si>
    <t>O</t>
  </si>
  <si>
    <t>D</t>
  </si>
  <si>
    <t>IPR</t>
  </si>
  <si>
    <t>Action préconisée</t>
  </si>
  <si>
    <t>G'</t>
  </si>
  <si>
    <t>O'</t>
  </si>
  <si>
    <t>D'</t>
  </si>
  <si>
    <t>IPR'</t>
  </si>
  <si>
    <t>GE1/GE2</t>
  </si>
  <si>
    <t>Démarrer sur sollicitation dans le délai requis</t>
  </si>
  <si>
    <t>Refus de démarrage</t>
  </si>
  <si>
    <t>Nourrice Vide (Pompe / Vanne de transfert du GE)</t>
  </si>
  <si>
    <t>GE indisponible à la sollicitation</t>
  </si>
  <si>
    <t>État dégradé, plus de redondance</t>
  </si>
  <si>
    <t>Jauge de carburant + alarme carburant vide + essai périodique mensuel</t>
  </si>
  <si>
    <t>Manque d'huile moteur</t>
  </si>
  <si>
    <t>Jauge d'huile moteur + alarme huile moteur vide + essai périodique mensuel</t>
  </si>
  <si>
    <t>Batterie de démarrage déchargée</t>
  </si>
  <si>
    <t>Surveillance du chargeur / tension batterie de démarrage avec alarme + essai périodique mensuel</t>
  </si>
  <si>
    <t>Vérification et recharge périodique des batteries</t>
  </si>
  <si>
    <t>Robinet d'accès carburant en position OFF</t>
  </si>
  <si>
    <t>Capteur de position + essai périodique mensuel</t>
  </si>
  <si>
    <t>GE1+GE2 (DCC)</t>
  </si>
  <si>
    <t>Refus de démarrage simultané</t>
  </si>
  <si>
    <t>Carburant trop vieux (cuve commune, dégrade les deux GE)</t>
  </si>
  <si>
    <t>GE1 et GE2 ne démarrent pas</t>
  </si>
  <si>
    <t>Perte totale de l'alimentation après décharge des batteries</t>
  </si>
  <si>
    <t>Essai périodique mensuel</t>
  </si>
  <si>
    <t>Analyse et rotation du carburant</t>
  </si>
  <si>
    <t>Produire la puissance requise à tension et fréquence nominales pendant 24 h</t>
  </si>
  <si>
    <t>Arrêt en fonctionnement</t>
  </si>
  <si>
    <t>GE s'arrête</t>
  </si>
  <si>
    <t>Puissance trop faible constatée</t>
  </si>
  <si>
    <t>Problème moteur</t>
  </si>
  <si>
    <t>GE délivre une puissance réduite</t>
  </si>
  <si>
    <t>État dégradé, redondance dégradée</t>
  </si>
  <si>
    <t>Capteurs mesures facteurs pouvant affecter le moteur (mesure puissance / tension / fréquence + alarme)</t>
  </si>
  <si>
    <t>Inverseur</t>
  </si>
  <si>
    <t>Détecter la perte du réseau et commuter sur la source de secours (dans un délai donné)</t>
  </si>
  <si>
    <t>Commutation non effectuée</t>
  </si>
  <si>
    <t>Sélecteur en mauvaise position</t>
  </si>
  <si>
    <t>La bascule ne s'effectue pas</t>
  </si>
  <si>
    <t>Perte totale de l'alimentation</t>
  </si>
  <si>
    <t>Panneau de commande + essai périodique</t>
  </si>
  <si>
    <t>Commutation trop lente</t>
  </si>
  <si>
    <t>Relais fatigués</t>
  </si>
  <si>
    <t>La détection de perte est trop lente</t>
  </si>
  <si>
    <t>Décharge des batteries plus prononcée</t>
  </si>
  <si>
    <t>Essai périodique (mesure du temps de commutation contre la valeur attendue (Autonomie Batterie Onduleur))</t>
  </si>
  <si>
    <t>Commutation effectuée même sans perte de réseau</t>
  </si>
  <si>
    <t>Seuils trop sensibles</t>
  </si>
  <si>
    <t>La bascule s'effectue même lorsqu'il n'y a pas de perte de réseau effective</t>
  </si>
  <si>
    <t>Effet intempestif, basculement inutile, décharge des batteries et consommation de carburant</t>
  </si>
  <si>
    <t>Vérification des seuils et temporisations à la mise en service et à chaque essai</t>
  </si>
  <si>
    <t>Maintenir la position/conduire le courant</t>
  </si>
  <si>
    <t>Commutation non maintenue</t>
  </si>
  <si>
    <t>Fusible de commande endommagé</t>
  </si>
  <si>
    <t>Bobine retombe</t>
  </si>
  <si>
    <t>Perte totale de l'alimentation après autonomie des batteries</t>
  </si>
  <si>
    <t>Surveillance de la tension de commande + alarme</t>
  </si>
  <si>
    <t>Courant mal conduit</t>
  </si>
  <si>
    <t>Contacts usés → échauffement</t>
  </si>
  <si>
    <t>Échauffement anormal des contacts</t>
  </si>
  <si>
    <t>État dégradé</t>
  </si>
  <si>
    <t>Thermographie infrarouge</t>
  </si>
  <si>
    <t>Détecter/commuter et conduire le courant</t>
  </si>
  <si>
    <t>Retour intempestif entre les deux sources</t>
  </si>
  <si>
    <t>La bascule s'effectue même lorsque le réseau n'est pas revenu</t>
  </si>
  <si>
    <t>Jeu de barres alimenté par l’onduleur sur batteries ; risque de pompage → décharge progressive des batteries</t>
  </si>
  <si>
    <t>Onduleur</t>
  </si>
  <si>
    <t>Fournir aux charges une tension alternative stable et sans coupure</t>
  </si>
  <si>
    <t>Perte de sortie onduleur</t>
  </si>
  <si>
    <t>Surchauffe (ventilation)</t>
  </si>
  <si>
    <t>Onduleur hors service</t>
  </si>
  <si>
    <t>Bascule sur bypass statique : jeu de barres alimenté mais plus protégé contre les coupures</t>
  </si>
  <si>
    <t>Alarme onduleur / surveillance température</t>
  </si>
  <si>
    <t>Assurer l’autonomie (batteries) pendant le démarrage des GE et la commutation</t>
  </si>
  <si>
    <t>Autonomie insuffisante</t>
  </si>
  <si>
    <t>Vieillissement des batteries (capacité réduite)</t>
  </si>
  <si>
    <t>Batteries indisponibles à la sollicitation</t>
  </si>
  <si>
    <t>Coupure brève du jeu de barres jusqu’à la reprise par le GE</t>
  </si>
  <si>
    <t>Essai périodique d'autonomie + alarme onduleur</t>
  </si>
  <si>
    <t>Remplacement préventif selon l’âge + essai d’autonomie</t>
  </si>
  <si>
    <t>Jeu de barres</t>
  </si>
  <si>
    <t>Distribuer l’énergie vers les départs des charges critiques</t>
  </si>
  <si>
    <t>Défaut d'isolement</t>
  </si>
  <si>
    <t>Contamination de surface (poussière...)</t>
  </si>
  <si>
    <t>Isolation défaillante</t>
  </si>
  <si>
    <t>Perte totale de l’alimentation</t>
  </si>
  <si>
    <t>Thermographie infrarouge + contrôle isolement</t>
  </si>
  <si>
    <t>Arrêt en fonctionnement simultané</t>
  </si>
  <si>
    <t>Carburant pollué → colmatage filtres</t>
  </si>
  <si>
    <t>GE1 et GE2 s'arrêtent en cours de mission</t>
  </si>
  <si>
    <t>Analyse périodique du carburant</t>
  </si>
  <si>
    <t>Protection du départ (disjoncteur + réglages)</t>
  </si>
  <si>
    <t>Éliminer un court-circuit sur un départ en isolant ce seul départ</t>
  </si>
  <si>
    <t>Refus de déclenchement</t>
  </si>
  <si>
    <t>Blocage mécanique d'un disjoncteur</t>
  </si>
  <si>
    <t>Disjoncteur non déclenché</t>
  </si>
  <si>
    <t>Perte totale du jeu de barres si court-circuit -&gt; charges critiques</t>
  </si>
  <si>
    <t>Essais de déclenchement périodiques (défaillance cachée)</t>
  </si>
  <si>
    <t>Déclenchement non sélectif</t>
  </si>
  <si>
    <t>Courbes temps-courant mal coordonnées</t>
  </si>
  <si>
    <t>Mauvais disjoncteur déclénché</t>
  </si>
  <si>
    <t>Etudes de sélectivité</t>
  </si>
  <si>
    <t>Onduleur (bypass statique)</t>
  </si>
  <si>
    <t>Refus de basculement du bypass</t>
  </si>
  <si>
    <t>Carte de commande défaillante</t>
  </si>
  <si>
    <t>Aucun tant que l'onduleur fonctionne, sinon perte totale de l'alimentation du jeu de barres si perte de sortie onduleur</t>
  </si>
  <si>
    <t>Essai de basculement périodique</t>
  </si>
  <si>
    <t>Cuve Principale (DCC)</t>
  </si>
  <si>
    <t>Fournir du carburant aux GE</t>
  </si>
  <si>
    <t>Niveau insuffisant pour assurer la mission pendant 24h</t>
  </si>
  <si>
    <t>Manque de carburant (remplissager non effectué)</t>
  </si>
  <si>
    <t>Nourrices non réalimentées</t>
  </si>
  <si>
    <t>Arrêt des GE en cours de mission, perte totale de l'alimentation du jeu de barres après batteries</t>
  </si>
  <si>
    <t>Jauge de carburant + alarme carburant vide + Vérification mensuelle du niveau de la cuve</t>
  </si>
  <si>
    <t>Synthèse</t>
  </si>
  <si>
    <t>Modes de défaillance analysés</t>
  </si>
  <si>
    <t>IPR = G × O × D · couleurs : rouge ≥ seuil critique, jaune ≥ seuil de surveillance, vert en dessous (seuils dans « échelles »). G en rouge = gravité 9–10.</t>
  </si>
  <si>
    <t>Modes ayant une action préconisée</t>
  </si>
  <si>
    <t>IPR maximal - avant actions</t>
  </si>
  <si>
    <t>IPR maximal - après actions (risque résiduel)</t>
  </si>
  <si>
    <t>Modes au-dessus du seuil critique - avant</t>
  </si>
  <si>
    <t>Modes au-dessus du seuil critique - après</t>
  </si>
  <si>
    <t>Grilles de cotation</t>
  </si>
  <si>
    <t>IPR = G × O × D  (chaque critère coté de 1 à 10)</t>
  </si>
  <si>
    <t>Gravité (G) — effet sur le jeu de barres</t>
  </si>
  <si>
    <t>Occurrence (O)</t>
  </si>
  <si>
    <t>Non-détection (D)</t>
  </si>
  <si>
    <t>Critère</t>
  </si>
  <si>
    <t>Note</t>
  </si>
  <si>
    <t>Sans effet sur le jeu de barre</t>
  </si>
  <si>
    <t>Jamais apparue</t>
  </si>
  <si>
    <t>1–2</t>
  </si>
  <si>
    <t>Détection certaine</t>
  </si>
  <si>
    <t>Faible gêne pour le système</t>
  </si>
  <si>
    <t>Apparue rarement</t>
  </si>
  <si>
    <t>3–4</t>
  </si>
  <si>
    <t>Détection moins fiable</t>
  </si>
  <si>
    <t>Gêne perceptible mais soluble rapidement</t>
  </si>
  <si>
    <t>3–4–5</t>
  </si>
  <si>
    <t>Pouvant apparaître</t>
  </si>
  <si>
    <t>5–6</t>
  </si>
  <si>
    <t>Détection incertaine</t>
  </si>
  <si>
    <t>Gêne importante pour le système</t>
  </si>
  <si>
    <t>6–7–8</t>
  </si>
  <si>
    <t>Apparition déjà constatée régulièrement</t>
  </si>
  <si>
    <t>7–8</t>
  </si>
  <si>
    <t>Détection difficile</t>
  </si>
  <si>
    <t>Perte de fonction totale</t>
  </si>
  <si>
    <t>9–10</t>
  </si>
  <si>
    <t>Probabilité quasi certaine d'apparition</t>
  </si>
  <si>
    <t>Détection inefficace</t>
  </si>
  <si>
    <t>Paramètres du système</t>
  </si>
  <si>
    <t>Autonomie batterie onduleur</t>
  </si>
  <si>
    <t>≈ 10 min — référence pour le temps de commutation (mode n° 9)</t>
  </si>
  <si>
    <t>Charges critiques</t>
  </si>
  <si>
    <t>Aucune coupure tolérée</t>
  </si>
  <si>
    <t>Seuils de lecture de l’IPR (couleurs de l’onglet AMDEC)</t>
  </si>
  <si>
    <t>IPR critique — action obligatoire (≥)</t>
  </si>
  <si>
    <t>IPR à surveiller (≥)</t>
  </si>
  <si>
    <t>IPR acceptable</t>
  </si>
  <si>
    <t>Les seuils en bleu sont modifiables : les couleurs et la synthèse se mettent à jour.</t>
  </si>
</sst>
</file>

<file path=xl/styles.xml><?xml version="1.0" encoding="utf-8"?>
<styleSheet xmlns="http://schemas.openxmlformats.org/spreadsheetml/2006/main">
  <numFmts count="1">
    <numFmt numFmtId="164" formatCode="0.00&quot; h&quot;"/>
  </numFmts>
  <fonts count="21">
    <font>
      <sz val="11"/>
      <color theme="1"/>
      <name val="Calibri"/>
      <family val="2"/>
      <scheme val="minor"/>
    </font>
    <font>
      <b/>
      <sz val="18"/>
      <color rgb="FFFFFFFF"/>
      <name val="Arial"/>
      <family val="2"/>
    </font>
    <font>
      <i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1F3864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FFFFFF"/>
      <name val="Arial"/>
      <family val="2"/>
    </font>
    <font>
      <b/>
      <sz val="11"/>
      <color rgb="FF1F3864"/>
      <name val="Arial"/>
      <family val="2"/>
    </font>
    <font>
      <i/>
      <sz val="9"/>
      <color rgb="FF595959"/>
      <name val="Arial"/>
      <family val="2"/>
    </font>
    <font>
      <b/>
      <sz val="16"/>
      <color rgb="FF1F3864"/>
      <name val="Arial"/>
      <family val="2"/>
    </font>
    <font>
      <i/>
      <sz val="10"/>
      <color rgb="FF595959"/>
      <name val="Arial"/>
      <family val="2"/>
    </font>
    <font>
      <b/>
      <sz val="11"/>
      <color rgb="FFFFFFFF"/>
      <name val="Arial"/>
      <family val="2"/>
    </font>
    <font>
      <b/>
      <sz val="10"/>
      <color rgb="FFC00000"/>
      <name val="Arial"/>
      <family val="2"/>
    </font>
    <font>
      <b/>
      <sz val="10"/>
      <color rgb="FFC55A11"/>
      <name val="Arial"/>
      <family val="2"/>
    </font>
    <font>
      <b/>
      <sz val="10"/>
      <color rgb="FF2E75B6"/>
      <name val="Arial"/>
      <family val="2"/>
    </font>
    <font>
      <b/>
      <sz val="12"/>
      <color rgb="FF1F3864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i/>
      <sz val="9"/>
      <color rgb="FF000000"/>
      <name val="Arial"/>
      <family val="2"/>
    </font>
    <font>
      <sz val="10"/>
      <color theme="1"/>
      <name val="Arial"/>
      <family val="2"/>
    </font>
  </fonts>
  <fills count="19">
    <fill>
      <patternFill patternType="none"/>
    </fill>
    <fill>
      <patternFill patternType="gray125">
        <bgColor indexed="64"/>
      </patternFill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7F6000"/>
        <bgColor rgb="FF595959"/>
      </patternFill>
    </fill>
    <fill>
      <patternFill patternType="solid">
        <fgColor rgb="FF385723"/>
        <bgColor rgb="FF595959"/>
      </patternFill>
    </fill>
    <fill>
      <patternFill patternType="solid">
        <fgColor rgb="FFD9E1F2"/>
        <bgColor rgb="FFE2EFDA"/>
      </patternFill>
    </fill>
    <fill>
      <patternFill patternType="solid">
        <fgColor rgb="FFFFFFFF"/>
        <bgColor rgb="FFF3F6FA"/>
      </patternFill>
    </fill>
    <fill>
      <patternFill patternType="solid">
        <fgColor rgb="FFF3F6FA"/>
        <bgColor rgb="FFF2F2F2"/>
      </patternFill>
    </fill>
    <fill>
      <patternFill patternType="solid">
        <fgColor rgb="FFC00000"/>
        <bgColor rgb="FF9C0006"/>
      </patternFill>
    </fill>
    <fill>
      <patternFill patternType="solid">
        <fgColor rgb="FFC55A11"/>
        <bgColor rgb="FF993300"/>
      </patternFill>
    </fill>
    <fill>
      <patternFill patternType="solid">
        <fgColor rgb="FFF2F2F2"/>
        <bgColor rgb="FFF3F6FA"/>
      </patternFill>
    </fill>
    <fill>
      <patternFill patternType="solid">
        <fgColor rgb="FFE2EFDA"/>
        <bgColor rgb="FFEEF5E6"/>
      </patternFill>
    </fill>
    <fill>
      <patternFill patternType="solid">
        <fgColor rgb="FFEEF5E6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FF2CC"/>
      </patternFill>
    </fill>
    <fill>
      <patternFill patternType="solid">
        <fgColor rgb="FFC6EFCE"/>
        <bgColor rgb="FFE2EFDA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/>
    <xf numFmtId="43" fontId="20" fillId="0" borderId="0"/>
    <xf numFmtId="41" fontId="20" fillId="0" borderId="0"/>
    <xf numFmtId="44" fontId="20" fillId="0" borderId="0"/>
    <xf numFmtId="42" fontId="20" fillId="0" borderId="0"/>
    <xf numFmtId="9" fontId="20" fillId="0" borderId="0"/>
  </cellStyleXfs>
  <cellXfs count="4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vertical="center" indent="1"/>
    </xf>
    <xf numFmtId="0" fontId="5" fillId="0" borderId="1" xfId="0" applyFont="1" applyBorder="1" applyAlignment="1">
      <alignment vertical="center" indent="1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top" wrapText="1" indent="1"/>
    </xf>
    <xf numFmtId="0" fontId="10" fillId="0" borderId="0" xfId="0" applyFont="1"/>
    <xf numFmtId="0" fontId="11" fillId="0" borderId="0" xfId="0" applyFont="1"/>
    <xf numFmtId="0" fontId="12" fillId="9" borderId="0" xfId="0" applyFont="1" applyFill="1" applyAlignment="1">
      <alignment horizontal="center" vertical="center" wrapText="1"/>
    </xf>
    <xf numFmtId="0" fontId="12" fillId="10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16" fillId="0" borderId="0" xfId="0" applyFont="1"/>
    <xf numFmtId="0" fontId="6" fillId="0" borderId="1" xfId="0" applyFont="1" applyBorder="1"/>
    <xf numFmtId="164" fontId="17" fillId="0" borderId="1" xfId="0" applyNumberFormat="1" applyFont="1" applyBorder="1" applyAlignment="1">
      <alignment horizontal="center" vertical="center" wrapText="1"/>
    </xf>
    <xf numFmtId="0" fontId="9" fillId="0" borderId="0" xfId="0" applyFont="1"/>
    <xf numFmtId="0" fontId="17" fillId="0" borderId="2" xfId="0" applyFont="1" applyBorder="1" applyAlignment="1">
      <alignment horizontal="center" vertical="center" wrapText="1"/>
    </xf>
    <xf numFmtId="0" fontId="5" fillId="16" borderId="1" xfId="0" applyFont="1" applyFill="1" applyBorder="1"/>
    <xf numFmtId="0" fontId="18" fillId="0" borderId="1" xfId="0" applyFont="1" applyBorder="1" applyAlignment="1">
      <alignment horizontal="center" vertical="center" wrapText="1"/>
    </xf>
    <xf numFmtId="0" fontId="5" fillId="17" borderId="1" xfId="0" applyFont="1" applyFill="1" applyBorder="1"/>
    <xf numFmtId="0" fontId="5" fillId="18" borderId="1" xfId="0" applyFont="1" applyFill="1" applyBorder="1"/>
    <xf numFmtId="0" fontId="19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</cellXfs>
  <cellStyles count="6">
    <cellStyle name="Normal" xfId="0" builtinId="0"/>
    <cellStyle name="Comma" xfId="1" customBuiltin="1"/>
    <cellStyle name="Comma [0]" xfId="2" customBuiltin="1"/>
    <cellStyle name="Currency" xfId="3" customBuiltin="1"/>
    <cellStyle name="Currency [0]" xfId="4" customBuiltin="1"/>
    <cellStyle name="Percent" xfId="5" customBuiltin="1"/>
  </cellStyles>
  <dxfs count="4">
    <dxf>
      <font>
        <b/>
        <color rgb="FF9C0006"/>
      </font>
      <fill>
        <patternFill patternType="solid">
          <fgColor rgb="FFF8CBAD"/>
          <bgColor rgb="FFF8CBAD"/>
        </patternFill>
      </fill>
    </dxf>
    <dxf>
      <font>
        <b/>
        <color rgb="FF7F6000"/>
      </font>
      <fill>
        <patternFill patternType="solid">
          <fgColor rgb="FFFFE699"/>
          <bgColor rgb="FFFFE699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C00000"/>
      </font>
    </dxf>
  </dxfs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Them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F3864"/>
    <pageSetUpPr fitToPage="1"/>
  </sheetPr>
  <dimension ref="A1:Q48"/>
  <sheetViews>
    <sheetView tabSelected="1" showGridLines="0" workbookViewId="0">
      <pane xSplit="2" ySplit="5" topLeftCell="C18" activePane="bottomRight" state="frozen"/>
      <selection pane="bottomRight" activeCell="H26" sqref="H26"/>
    </sheetView>
  </sheetViews>
  <sheetFormatPr defaultColWidth="8.7109375" defaultRowHeight="15"/>
  <cols>
    <col min="1" max="1" width="5.00390625" customWidth="1"/>
    <col min="2" max="2" width="14.00390625" customWidth="1"/>
    <col min="3" max="3" width="28.00390625" customWidth="1"/>
    <col min="4" max="4" width="24.00390625" customWidth="1"/>
    <col min="5" max="6" width="26.00390625" customWidth="1"/>
    <col min="7" max="7" width="32.00390625" customWidth="1"/>
    <col min="8" max="8" width="30.00390625" customWidth="1"/>
    <col min="9" max="11" width="5.57421875" customWidth="1"/>
    <col min="12" max="12" width="7.00390625" customWidth="1"/>
    <col min="13" max="13" width="32.00390625" customWidth="1"/>
    <col min="14" max="16" width="5.57421875" customWidth="1"/>
    <col min="17" max="17" width="7.00390625" customWidth="1"/>
  </cols>
  <sheetData>
    <row r="1" ht="33.75" customHeight="1">
      <c r="A1" s="1" t="s">
        <v>0</v>
      </c>
    </row>
    <row r="2" ht="19.5" customHeight="1">
      <c r="A2" s="2" t="s">
        <v>1</v>
      </c>
    </row>
    <row r="3" ht="7.5" customHeight="1"/>
    <row r="4" ht="19.5" customHeight="1">
      <c r="A4" s="3" t="s">
        <v>2</v>
      </c>
      <c r="B4" s="43"/>
      <c r="C4" s="43"/>
      <c r="D4" s="43"/>
      <c r="E4" s="43"/>
      <c r="F4" s="43"/>
      <c r="G4" s="43"/>
      <c r="H4" s="44"/>
      <c r="I4" s="4" t="s">
        <v>3</v>
      </c>
      <c r="J4" s="43"/>
      <c r="K4" s="43"/>
      <c r="L4" s="44"/>
      <c r="M4" s="5" t="s">
        <v>4</v>
      </c>
      <c r="N4" s="5" t="s">
        <v>5</v>
      </c>
      <c r="O4" s="43"/>
      <c r="P4" s="43"/>
      <c r="Q4" s="44"/>
    </row>
    <row r="5" ht="24" customHeight="1">
      <c r="A5" s="6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6" t="s">
        <v>13</v>
      </c>
      <c r="I5" s="6" t="s">
        <v>14</v>
      </c>
      <c r="J5" s="6" t="s">
        <v>15</v>
      </c>
      <c r="K5" s="6" t="s">
        <v>16</v>
      </c>
      <c r="L5" s="6" t="s">
        <v>17</v>
      </c>
      <c r="M5" s="6" t="s">
        <v>18</v>
      </c>
      <c r="N5" s="6" t="s">
        <v>19</v>
      </c>
      <c r="O5" s="6" t="s">
        <v>20</v>
      </c>
      <c r="P5" s="6" t="s">
        <v>21</v>
      </c>
      <c r="Q5" s="6" t="s">
        <v>22</v>
      </c>
    </row>
    <row r="6" ht="48" customHeight="1">
      <c r="A6" s="7">
        <v>1</v>
      </c>
      <c r="B6" s="8" t="s">
        <v>23</v>
      </c>
      <c r="C6" s="9" t="s">
        <v>24</v>
      </c>
      <c r="D6" s="9" t="s">
        <v>25</v>
      </c>
      <c r="E6" s="9" t="s">
        <v>26</v>
      </c>
      <c r="F6" s="9" t="s">
        <v>27</v>
      </c>
      <c r="G6" s="9" t="s">
        <v>28</v>
      </c>
      <c r="H6" s="9" t="s">
        <v>29</v>
      </c>
      <c r="I6" s="7">
        <v>5</v>
      </c>
      <c r="J6" s="7">
        <v>6</v>
      </c>
      <c r="K6" s="7">
        <v>2</v>
      </c>
      <c r="L6" s="10">
        <f>I6*J6*K6</f>
        <v>60</v>
      </c>
      <c r="M6" s="9"/>
      <c r="N6" s="7"/>
      <c r="O6" s="7"/>
      <c r="P6" s="7"/>
      <c r="Q6" s="10" t="str">
        <f>IF(COUNT(N6:P6)=3,N6*O6*P6,"")</f>
        <v/>
      </c>
    </row>
    <row r="7" ht="48" customHeight="1">
      <c r="A7" s="7">
        <v>2</v>
      </c>
      <c r="B7" s="8" t="s">
        <v>23</v>
      </c>
      <c r="C7" s="9" t="s">
        <v>24</v>
      </c>
      <c r="D7" s="9" t="s">
        <v>25</v>
      </c>
      <c r="E7" s="9" t="s">
        <v>30</v>
      </c>
      <c r="F7" s="9" t="s">
        <v>27</v>
      </c>
      <c r="G7" s="9" t="s">
        <v>28</v>
      </c>
      <c r="H7" s="9" t="s">
        <v>31</v>
      </c>
      <c r="I7" s="7">
        <v>5</v>
      </c>
      <c r="J7" s="7">
        <v>5</v>
      </c>
      <c r="K7" s="7">
        <v>2</v>
      </c>
      <c r="L7" s="10">
        <f>I7*J7*K7</f>
        <v>50</v>
      </c>
      <c r="M7" s="9"/>
      <c r="N7" s="7"/>
      <c r="O7" s="7"/>
      <c r="P7" s="7"/>
      <c r="Q7" s="10" t="str">
        <f>IF(COUNT(N7:P7)=3,N7*O7*P7,"")</f>
        <v/>
      </c>
    </row>
    <row r="8" ht="48" customHeight="1">
      <c r="A8" s="7">
        <v>3</v>
      </c>
      <c r="B8" s="8" t="s">
        <v>23</v>
      </c>
      <c r="C8" s="9" t="s">
        <v>24</v>
      </c>
      <c r="D8" s="9" t="s">
        <v>25</v>
      </c>
      <c r="E8" s="9" t="s">
        <v>32</v>
      </c>
      <c r="F8" s="9" t="s">
        <v>27</v>
      </c>
      <c r="G8" s="9" t="s">
        <v>28</v>
      </c>
      <c r="H8" s="9" t="s">
        <v>33</v>
      </c>
      <c r="I8" s="7">
        <v>5</v>
      </c>
      <c r="J8" s="7">
        <v>7</v>
      </c>
      <c r="K8" s="7">
        <v>4</v>
      </c>
      <c r="L8" s="10">
        <f>I8*J8*K8</f>
        <v>140</v>
      </c>
      <c r="M8" s="9" t="s">
        <v>34</v>
      </c>
      <c r="N8" s="7">
        <v>5</v>
      </c>
      <c r="O8" s="7">
        <v>4</v>
      </c>
      <c r="P8" s="7">
        <v>3</v>
      </c>
      <c r="Q8" s="10">
        <f>IF(COUNT(N8:P8)=3,N8*O8*P8,"")</f>
        <v>60</v>
      </c>
    </row>
    <row r="9" ht="48" customHeight="1">
      <c r="A9" s="7">
        <v>4</v>
      </c>
      <c r="B9" s="8" t="s">
        <v>23</v>
      </c>
      <c r="C9" s="9" t="s">
        <v>24</v>
      </c>
      <c r="D9" s="9" t="s">
        <v>25</v>
      </c>
      <c r="E9" s="9" t="s">
        <v>35</v>
      </c>
      <c r="F9" s="9" t="s">
        <v>27</v>
      </c>
      <c r="G9" s="9" t="s">
        <v>28</v>
      </c>
      <c r="H9" s="9" t="s">
        <v>36</v>
      </c>
      <c r="I9" s="7">
        <v>5</v>
      </c>
      <c r="J9" s="7">
        <v>3</v>
      </c>
      <c r="K9" s="7">
        <v>1</v>
      </c>
      <c r="L9" s="10">
        <f>I9*J9*K9</f>
        <v>15</v>
      </c>
      <c r="M9" s="9"/>
      <c r="N9" s="7"/>
      <c r="O9" s="7"/>
      <c r="P9" s="7"/>
      <c r="Q9" s="10" t="str">
        <f>IF(COUNT(N9:P9)=3,N9*O9*P9,"")</f>
        <v/>
      </c>
    </row>
    <row r="10" ht="48" customHeight="1">
      <c r="A10" s="11">
        <v>5</v>
      </c>
      <c r="B10" s="12" t="s">
        <v>37</v>
      </c>
      <c r="C10" s="13" t="s">
        <v>24</v>
      </c>
      <c r="D10" s="13" t="s">
        <v>38</v>
      </c>
      <c r="E10" s="13" t="s">
        <v>39</v>
      </c>
      <c r="F10" s="13" t="s">
        <v>40</v>
      </c>
      <c r="G10" s="13" t="s">
        <v>41</v>
      </c>
      <c r="H10" s="13" t="s">
        <v>42</v>
      </c>
      <c r="I10" s="11">
        <v>10</v>
      </c>
      <c r="J10" s="11">
        <v>4</v>
      </c>
      <c r="K10" s="11">
        <v>4</v>
      </c>
      <c r="L10" s="14">
        <f>I10*J10*K10</f>
        <v>160</v>
      </c>
      <c r="M10" s="13" t="s">
        <v>43</v>
      </c>
      <c r="N10" s="11">
        <v>10</v>
      </c>
      <c r="O10" s="11">
        <v>2</v>
      </c>
      <c r="P10" s="11">
        <v>4</v>
      </c>
      <c r="Q10" s="14">
        <f>IF(COUNT(N10:P10)=3,N10*O10*P10,"")</f>
        <v>80</v>
      </c>
    </row>
    <row r="11" ht="48" customHeight="1">
      <c r="A11" s="7">
        <v>6</v>
      </c>
      <c r="B11" s="8" t="s">
        <v>23</v>
      </c>
      <c r="C11" s="9" t="s">
        <v>44</v>
      </c>
      <c r="D11" s="9" t="s">
        <v>45</v>
      </c>
      <c r="E11" s="9" t="s">
        <v>26</v>
      </c>
      <c r="F11" s="9" t="s">
        <v>46</v>
      </c>
      <c r="G11" s="9" t="s">
        <v>28</v>
      </c>
      <c r="H11" s="9" t="s">
        <v>29</v>
      </c>
      <c r="I11" s="7">
        <v>5</v>
      </c>
      <c r="J11" s="7">
        <v>6</v>
      </c>
      <c r="K11" s="7">
        <v>2</v>
      </c>
      <c r="L11" s="10">
        <f>I11*J11*K11</f>
        <v>60</v>
      </c>
      <c r="M11" s="9"/>
      <c r="N11" s="7"/>
      <c r="O11" s="7"/>
      <c r="P11" s="7"/>
      <c r="Q11" s="10" t="str">
        <f>IF(COUNT(N11:P11)=3,N11*O11*P11,"")</f>
        <v/>
      </c>
    </row>
    <row r="12" ht="48" customHeight="1">
      <c r="A12" s="7">
        <v>7</v>
      </c>
      <c r="B12" s="8" t="s">
        <v>23</v>
      </c>
      <c r="C12" s="9" t="s">
        <v>44</v>
      </c>
      <c r="D12" s="9" t="s">
        <v>47</v>
      </c>
      <c r="E12" s="9" t="s">
        <v>48</v>
      </c>
      <c r="F12" s="9" t="s">
        <v>49</v>
      </c>
      <c r="G12" s="9" t="s">
        <v>50</v>
      </c>
      <c r="H12" s="9" t="s">
        <v>51</v>
      </c>
      <c r="I12" s="7">
        <v>3</v>
      </c>
      <c r="J12" s="7">
        <v>4</v>
      </c>
      <c r="K12" s="7">
        <v>5</v>
      </c>
      <c r="L12" s="10">
        <f>I12*J12*K12</f>
        <v>60</v>
      </c>
      <c r="M12" s="9"/>
      <c r="N12" s="7"/>
      <c r="O12" s="7"/>
      <c r="P12" s="7"/>
      <c r="Q12" s="10" t="str">
        <f>IF(COUNT(N12:P12)=3,N12*O12*P12,"")</f>
        <v/>
      </c>
    </row>
    <row r="13" ht="48" customHeight="1">
      <c r="A13" s="11">
        <v>8</v>
      </c>
      <c r="B13" s="12" t="s">
        <v>52</v>
      </c>
      <c r="C13" s="13" t="s">
        <v>53</v>
      </c>
      <c r="D13" s="13" t="s">
        <v>54</v>
      </c>
      <c r="E13" s="13" t="s">
        <v>55</v>
      </c>
      <c r="F13" s="13" t="s">
        <v>56</v>
      </c>
      <c r="G13" s="13" t="s">
        <v>57</v>
      </c>
      <c r="H13" s="13" t="s">
        <v>58</v>
      </c>
      <c r="I13" s="11">
        <v>10</v>
      </c>
      <c r="J13" s="11">
        <v>3</v>
      </c>
      <c r="K13" s="11">
        <v>1</v>
      </c>
      <c r="L13" s="14">
        <f>I13*J13*K13</f>
        <v>30</v>
      </c>
      <c r="M13" s="13"/>
      <c r="N13" s="11"/>
      <c r="O13" s="11"/>
      <c r="P13" s="11"/>
      <c r="Q13" s="14" t="str">
        <f>IF(COUNT(N13:P13)=3,N13*O13*P13,"")</f>
        <v/>
      </c>
    </row>
    <row r="14" ht="48" customHeight="1">
      <c r="A14" s="11">
        <v>9</v>
      </c>
      <c r="B14" s="12" t="s">
        <v>52</v>
      </c>
      <c r="C14" s="13" t="s">
        <v>53</v>
      </c>
      <c r="D14" s="13" t="s">
        <v>59</v>
      </c>
      <c r="E14" s="13" t="s">
        <v>60</v>
      </c>
      <c r="F14" s="13" t="s">
        <v>61</v>
      </c>
      <c r="G14" s="13" t="s">
        <v>62</v>
      </c>
      <c r="H14" s="13" t="s">
        <v>63</v>
      </c>
      <c r="I14" s="11">
        <v>3</v>
      </c>
      <c r="J14" s="11">
        <v>2</v>
      </c>
      <c r="K14" s="11">
        <v>4</v>
      </c>
      <c r="L14" s="14">
        <f>I14*J14*K14</f>
        <v>24</v>
      </c>
      <c r="M14" s="13"/>
      <c r="N14" s="11"/>
      <c r="O14" s="11"/>
      <c r="P14" s="11"/>
      <c r="Q14" s="14" t="str">
        <f>IF(COUNT(N14:P14)=3,N14*O14*P14,"")</f>
        <v/>
      </c>
    </row>
    <row r="15" ht="48" customHeight="1">
      <c r="A15" s="11">
        <v>10</v>
      </c>
      <c r="B15" s="12" t="s">
        <v>52</v>
      </c>
      <c r="C15" s="13" t="s">
        <v>53</v>
      </c>
      <c r="D15" s="13" t="s">
        <v>64</v>
      </c>
      <c r="E15" s="13" t="s">
        <v>65</v>
      </c>
      <c r="F15" s="13" t="s">
        <v>66</v>
      </c>
      <c r="G15" s="13" t="s">
        <v>67</v>
      </c>
      <c r="H15" s="13" t="s">
        <v>58</v>
      </c>
      <c r="I15" s="11">
        <v>3</v>
      </c>
      <c r="J15" s="11">
        <v>2</v>
      </c>
      <c r="K15" s="11">
        <v>5</v>
      </c>
      <c r="L15" s="14">
        <f>I15*J15*K15</f>
        <v>30</v>
      </c>
      <c r="M15" s="13" t="s">
        <v>68</v>
      </c>
      <c r="N15" s="11"/>
      <c r="O15" s="11"/>
      <c r="P15" s="11"/>
      <c r="Q15" s="14" t="str">
        <f>IF(COUNT(N15:P15)=3,N15*O15*P15,"")</f>
        <v/>
      </c>
    </row>
    <row r="16" ht="48" customHeight="1">
      <c r="A16" s="11">
        <v>11</v>
      </c>
      <c r="B16" s="12" t="s">
        <v>52</v>
      </c>
      <c r="C16" s="13" t="s">
        <v>69</v>
      </c>
      <c r="D16" s="13" t="s">
        <v>70</v>
      </c>
      <c r="E16" s="13" t="s">
        <v>71</v>
      </c>
      <c r="F16" s="13" t="s">
        <v>72</v>
      </c>
      <c r="G16" s="13" t="s">
        <v>73</v>
      </c>
      <c r="H16" s="13" t="s">
        <v>58</v>
      </c>
      <c r="I16" s="11">
        <v>10</v>
      </c>
      <c r="J16" s="11">
        <v>4</v>
      </c>
      <c r="K16" s="11">
        <v>5</v>
      </c>
      <c r="L16" s="14">
        <f>I16*J16*K16</f>
        <v>200</v>
      </c>
      <c r="M16" s="13" t="s">
        <v>74</v>
      </c>
      <c r="N16" s="11">
        <v>10</v>
      </c>
      <c r="O16" s="11">
        <v>4</v>
      </c>
      <c r="P16" s="11">
        <v>3</v>
      </c>
      <c r="Q16" s="14">
        <f>IF(COUNT(N16:P16)=3,N16*O16*P16,"")</f>
        <v>120</v>
      </c>
    </row>
    <row r="17" ht="48" customHeight="1">
      <c r="A17" s="11">
        <v>12</v>
      </c>
      <c r="B17" s="12" t="s">
        <v>52</v>
      </c>
      <c r="C17" s="13" t="s">
        <v>69</v>
      </c>
      <c r="D17" s="13" t="s">
        <v>75</v>
      </c>
      <c r="E17" s="13" t="s">
        <v>76</v>
      </c>
      <c r="F17" s="13" t="s">
        <v>77</v>
      </c>
      <c r="G17" s="13" t="s">
        <v>78</v>
      </c>
      <c r="H17" s="13" t="s">
        <v>79</v>
      </c>
      <c r="I17" s="11">
        <v>5</v>
      </c>
      <c r="J17" s="11">
        <v>3</v>
      </c>
      <c r="K17" s="11">
        <v>4</v>
      </c>
      <c r="L17" s="14">
        <f>I17*J17*K17</f>
        <v>60</v>
      </c>
      <c r="M17" s="13"/>
      <c r="N17" s="11"/>
      <c r="O17" s="11"/>
      <c r="P17" s="11"/>
      <c r="Q17" s="14" t="str">
        <f>IF(COUNT(N17:P17)=3,N17*O17*P17,"")</f>
        <v/>
      </c>
    </row>
    <row r="18" ht="48" customHeight="1">
      <c r="A18" s="11">
        <v>13</v>
      </c>
      <c r="B18" s="12" t="s">
        <v>52</v>
      </c>
      <c r="C18" s="13" t="s">
        <v>80</v>
      </c>
      <c r="D18" s="13" t="s">
        <v>81</v>
      </c>
      <c r="E18" s="13" t="s">
        <v>65</v>
      </c>
      <c r="F18" s="13" t="s">
        <v>82</v>
      </c>
      <c r="G18" s="13" t="s">
        <v>83</v>
      </c>
      <c r="H18" s="13" t="s">
        <v>58</v>
      </c>
      <c r="I18" s="11">
        <v>6</v>
      </c>
      <c r="J18" s="11">
        <v>3</v>
      </c>
      <c r="K18" s="11">
        <v>5</v>
      </c>
      <c r="L18" s="14">
        <f>I18*J18*K18</f>
        <v>90</v>
      </c>
      <c r="M18" s="13" t="s">
        <v>68</v>
      </c>
      <c r="N18" s="11"/>
      <c r="O18" s="11"/>
      <c r="P18" s="11"/>
      <c r="Q18" s="14" t="str">
        <f>IF(COUNT(N18:P18)=3,N18*O18*P18,"")</f>
        <v/>
      </c>
    </row>
    <row r="19" ht="48" customHeight="1">
      <c r="A19" s="7">
        <v>14</v>
      </c>
      <c r="B19" s="8" t="s">
        <v>84</v>
      </c>
      <c r="C19" s="9" t="s">
        <v>85</v>
      </c>
      <c r="D19" s="9" t="s">
        <v>86</v>
      </c>
      <c r="E19" s="9" t="s">
        <v>87</v>
      </c>
      <c r="F19" s="9" t="s">
        <v>88</v>
      </c>
      <c r="G19" s="9" t="s">
        <v>89</v>
      </c>
      <c r="H19" s="9" t="s">
        <v>90</v>
      </c>
      <c r="I19" s="7">
        <v>4</v>
      </c>
      <c r="J19" s="7">
        <v>4</v>
      </c>
      <c r="K19" s="7">
        <v>4</v>
      </c>
      <c r="L19" s="10">
        <f>I19*J19*K19</f>
        <v>64</v>
      </c>
      <c r="M19" s="9"/>
      <c r="N19" s="7"/>
      <c r="O19" s="7"/>
      <c r="P19" s="7"/>
      <c r="Q19" s="10" t="str">
        <f>IF(COUNT(N19:P19)=3,N19*O19*P19,"")</f>
        <v/>
      </c>
    </row>
    <row r="20" ht="48" customHeight="1">
      <c r="A20" s="7">
        <v>15</v>
      </c>
      <c r="B20" s="8" t="s">
        <v>84</v>
      </c>
      <c r="C20" s="9" t="s">
        <v>91</v>
      </c>
      <c r="D20" s="9" t="s">
        <v>92</v>
      </c>
      <c r="E20" s="9" t="s">
        <v>93</v>
      </c>
      <c r="F20" s="9" t="s">
        <v>94</v>
      </c>
      <c r="G20" s="9" t="s">
        <v>95</v>
      </c>
      <c r="H20" s="9" t="s">
        <v>96</v>
      </c>
      <c r="I20" s="7">
        <v>8</v>
      </c>
      <c r="J20" s="7">
        <v>3</v>
      </c>
      <c r="K20" s="7">
        <v>6</v>
      </c>
      <c r="L20" s="10">
        <f>I20*J20*K20</f>
        <v>144</v>
      </c>
      <c r="M20" s="9" t="s">
        <v>97</v>
      </c>
      <c r="N20" s="7">
        <v>8</v>
      </c>
      <c r="O20" s="7">
        <v>2</v>
      </c>
      <c r="P20" s="7">
        <v>4</v>
      </c>
      <c r="Q20" s="10">
        <f>IF(COUNT(N20:P20)=3,N20*O20*P20,"")</f>
        <v>64</v>
      </c>
    </row>
    <row r="21" ht="48" customHeight="1">
      <c r="A21" s="11">
        <v>16</v>
      </c>
      <c r="B21" s="12" t="s">
        <v>98</v>
      </c>
      <c r="C21" s="13" t="s">
        <v>99</v>
      </c>
      <c r="D21" s="13" t="s">
        <v>100</v>
      </c>
      <c r="E21" s="13" t="s">
        <v>101</v>
      </c>
      <c r="F21" s="13" t="s">
        <v>102</v>
      </c>
      <c r="G21" s="13" t="s">
        <v>103</v>
      </c>
      <c r="H21" s="13" t="s">
        <v>104</v>
      </c>
      <c r="I21" s="11">
        <v>10</v>
      </c>
      <c r="J21" s="11">
        <v>2</v>
      </c>
      <c r="K21" s="11">
        <v>4</v>
      </c>
      <c r="L21" s="14">
        <f>I21*J21*K21</f>
        <v>80</v>
      </c>
      <c r="M21" s="13"/>
      <c r="N21" s="11"/>
      <c r="O21" s="11"/>
      <c r="P21" s="11"/>
      <c r="Q21" s="14" t="str">
        <f>IF(COUNT(N21:P21)=3,N21*O21*P21,"")</f>
        <v/>
      </c>
    </row>
    <row r="22" ht="48" customHeight="1">
      <c r="A22" s="7">
        <v>17</v>
      </c>
      <c r="B22" s="8" t="s">
        <v>37</v>
      </c>
      <c r="C22" s="9" t="s">
        <v>44</v>
      </c>
      <c r="D22" s="9" t="s">
        <v>105</v>
      </c>
      <c r="E22" s="9" t="s">
        <v>106</v>
      </c>
      <c r="F22" s="9" t="s">
        <v>107</v>
      </c>
      <c r="G22" s="9" t="s">
        <v>41</v>
      </c>
      <c r="H22" s="9" t="s">
        <v>108</v>
      </c>
      <c r="I22" s="7">
        <v>10</v>
      </c>
      <c r="J22" s="7">
        <v>4</v>
      </c>
      <c r="K22" s="7">
        <v>4</v>
      </c>
      <c r="L22" s="10">
        <f>I22*J22*K22</f>
        <v>160</v>
      </c>
      <c r="M22" s="9" t="s">
        <v>43</v>
      </c>
      <c r="N22" s="7">
        <v>10</v>
      </c>
      <c r="O22" s="7">
        <v>2</v>
      </c>
      <c r="P22" s="7">
        <v>4</v>
      </c>
      <c r="Q22" s="10">
        <f>IF(COUNT(N22:P22)=3,N22*O22*P22,"")</f>
        <v>80</v>
      </c>
    </row>
    <row r="23" ht="48" customHeight="1">
      <c r="A23" s="7">
        <v>18</v>
      </c>
      <c r="B23" s="8" t="s">
        <v>109</v>
      </c>
      <c r="C23" s="13" t="s">
        <v>110</v>
      </c>
      <c r="D23" s="9" t="s">
        <v>111</v>
      </c>
      <c r="E23" s="9" t="s">
        <v>112</v>
      </c>
      <c r="F23" s="9" t="s">
        <v>113</v>
      </c>
      <c r="G23" s="9" t="s">
        <v>114</v>
      </c>
      <c r="H23" s="9" t="s">
        <v>115</v>
      </c>
      <c r="I23" s="7">
        <v>10</v>
      </c>
      <c r="J23" s="7">
        <v>2</v>
      </c>
      <c r="K23" s="7">
        <v>6</v>
      </c>
      <c r="L23" s="14">
        <f>I23*J23*K23</f>
        <v>120</v>
      </c>
      <c r="M23" s="9"/>
      <c r="N23" s="7"/>
      <c r="O23" s="7"/>
      <c r="P23" s="7"/>
      <c r="Q23" s="10" t="str">
        <f>IF(COUNT(N23:P23)=3,N23*O23*P23,"")</f>
        <v/>
      </c>
    </row>
    <row r="24" ht="48" customHeight="1">
      <c r="A24" s="7">
        <v>19</v>
      </c>
      <c r="B24" s="8" t="s">
        <v>109</v>
      </c>
      <c r="C24" s="13" t="s">
        <v>110</v>
      </c>
      <c r="D24" s="9" t="s">
        <v>116</v>
      </c>
      <c r="E24" s="9" t="s">
        <v>117</v>
      </c>
      <c r="F24" s="9" t="s">
        <v>118</v>
      </c>
      <c r="G24" s="9" t="s">
        <v>114</v>
      </c>
      <c r="H24" s="9" t="s">
        <v>119</v>
      </c>
      <c r="I24" s="7">
        <v>10</v>
      </c>
      <c r="J24" s="7">
        <v>4</v>
      </c>
      <c r="K24" s="7">
        <v>7</v>
      </c>
      <c r="L24" s="10">
        <f>I24*J24*K24</f>
        <v>280</v>
      </c>
      <c r="M24" s="9"/>
      <c r="N24" s="7"/>
      <c r="O24" s="7"/>
      <c r="P24" s="7"/>
      <c r="Q24" s="14" t="str">
        <f>IF(COUNT(N24:P24)=3,N24*O24*P24,"")</f>
        <v/>
      </c>
    </row>
    <row r="25" ht="48" customHeight="1">
      <c r="A25" s="7">
        <v>20</v>
      </c>
      <c r="B25" s="8" t="s">
        <v>120</v>
      </c>
      <c r="C25" s="9" t="s">
        <v>85</v>
      </c>
      <c r="D25" s="9" t="s">
        <v>121</v>
      </c>
      <c r="E25" s="9" t="s">
        <v>122</v>
      </c>
      <c r="F25" s="9" t="s">
        <v>56</v>
      </c>
      <c r="G25" s="9" t="s">
        <v>123</v>
      </c>
      <c r="H25" s="9" t="s">
        <v>124</v>
      </c>
      <c r="I25" s="7">
        <v>10</v>
      </c>
      <c r="J25" s="7">
        <v>3</v>
      </c>
      <c r="K25" s="7">
        <v>6</v>
      </c>
      <c r="L25" s="14">
        <f>I25*J25*K25</f>
        <v>180</v>
      </c>
      <c r="M25" s="9"/>
      <c r="N25" s="7"/>
      <c r="O25" s="7"/>
      <c r="P25" s="7"/>
      <c r="Q25" s="10" t="str">
        <f>IF(COUNT(N25:P25)=3,N25*O25*P25,"")</f>
        <v/>
      </c>
    </row>
    <row r="26" ht="48" customHeight="1">
      <c r="A26" s="7">
        <v>21</v>
      </c>
      <c r="B26" s="8" t="s">
        <v>125</v>
      </c>
      <c r="C26" s="13" t="s">
        <v>126</v>
      </c>
      <c r="D26" s="13" t="s">
        <v>127</v>
      </c>
      <c r="E26" s="13" t="s">
        <v>128</v>
      </c>
      <c r="F26" s="13" t="s">
        <v>129</v>
      </c>
      <c r="G26" s="13" t="s">
        <v>130</v>
      </c>
      <c r="H26" s="13" t="s">
        <v>131</v>
      </c>
      <c r="I26" s="7">
        <v>10</v>
      </c>
      <c r="J26" s="7">
        <v>3</v>
      </c>
      <c r="K26" s="7">
        <v>1</v>
      </c>
      <c r="L26" s="10">
        <f>I26*J26*K26</f>
        <v>30</v>
      </c>
      <c r="M26" s="9"/>
      <c r="N26" s="7"/>
      <c r="O26" s="7"/>
      <c r="P26" s="7"/>
      <c r="Q26" s="10" t="str">
        <f>IF(COUNT(N26:P26)=3,N26*O26*P26,"")</f>
        <v/>
      </c>
    </row>
    <row r="27">
      <c r="A27" s="7"/>
      <c r="B27" s="8"/>
      <c r="C27" s="9"/>
      <c r="D27" s="9"/>
      <c r="E27" s="9"/>
      <c r="F27" s="9"/>
      <c r="G27" s="9"/>
      <c r="H27" s="9"/>
      <c r="I27" s="7"/>
      <c r="J27" s="7"/>
      <c r="K27" s="7"/>
      <c r="L27" s="10"/>
      <c r="M27" s="9"/>
      <c r="N27" s="7"/>
      <c r="O27" s="7"/>
      <c r="P27" s="7"/>
      <c r="Q27" s="10"/>
    </row>
    <row r="28">
      <c r="A28" s="7"/>
      <c r="B28" s="43"/>
      <c r="C28" s="43"/>
      <c r="D28" s="43"/>
      <c r="E28" s="43"/>
      <c r="F28" s="43"/>
      <c r="G28" s="43"/>
      <c r="H28" s="44"/>
      <c r="I28" s="7"/>
      <c r="J28" s="7"/>
      <c r="K28" s="7"/>
      <c r="L28" s="10"/>
      <c r="M28" s="9"/>
      <c r="N28" s="7"/>
      <c r="O28" s="7"/>
      <c r="P28" s="7"/>
      <c r="Q28" s="10"/>
    </row>
    <row r="29" ht="18" customHeight="1"/>
    <row r="30" ht="18" customHeight="1"/>
    <row r="31" ht="18" customHeight="1"/>
    <row r="32" ht="18" customHeight="1"/>
    <row r="33" ht="18" customHeight="1"/>
    <row r="34" ht="18" customHeight="1"/>
    <row r="42" ht="16.5" customHeight="1">
      <c r="A42" s="15" t="s">
        <v>132</v>
      </c>
    </row>
    <row r="43" ht="69.75" customHeight="1">
      <c r="A43" s="16" t="s">
        <v>133</v>
      </c>
      <c r="B43" s="43"/>
      <c r="C43" s="43"/>
      <c r="D43" s="44"/>
      <c r="E43" s="17">
        <f>COUNTA(D6:D26)</f>
        <v>21</v>
      </c>
      <c r="F43" s="18" t="s">
        <v>134</v>
      </c>
    </row>
    <row r="44">
      <c r="A44" s="16" t="s">
        <v>135</v>
      </c>
      <c r="B44" s="43"/>
      <c r="C44" s="43"/>
      <c r="D44" s="44"/>
      <c r="E44" s="17">
        <f>COUNTA(M6:M26)</f>
        <v>7</v>
      </c>
    </row>
    <row r="45">
      <c r="A45" s="16" t="s">
        <v>136</v>
      </c>
      <c r="B45" s="43"/>
      <c r="C45" s="43"/>
      <c r="D45" s="44"/>
      <c r="E45" s="17">
        <f>MAX(L6:L26)</f>
        <v>280</v>
      </c>
    </row>
    <row r="46">
      <c r="A46" s="16" t="s">
        <v>137</v>
      </c>
      <c r="B46" s="43"/>
      <c r="C46" s="43"/>
      <c r="D46" s="44"/>
      <c r="E46" s="17">
        <f t="array" ref="E46">MAX(IF(ISNUMBER(Q6:Q26),Q6:Q26,L6:L26))</f>
        <v>280</v>
      </c>
    </row>
    <row r="47">
      <c r="A47" s="16" t="s">
        <v>138</v>
      </c>
      <c r="B47" s="43"/>
      <c r="C47" s="43"/>
      <c r="D47" s="44"/>
      <c r="E47" s="17">
        <f>COUNTIF(L6:L26,"&gt;="&amp;SeuilCritique)</f>
        <v>7</v>
      </c>
    </row>
    <row r="48">
      <c r="A48" s="16" t="s">
        <v>139</v>
      </c>
      <c r="B48" s="43"/>
      <c r="C48" s="43"/>
      <c r="D48" s="44"/>
      <c r="E48" s="17">
        <f>SUMPRODUCT(ISNUMBER(Q6:Q26)*(N(+Q6:Q26)&gt;=SeuilCritique))+SUMPRODUCT(NOT(ISNUMBER(Q6:Q26))*(L6:L26&gt;=SeuilCritique))</f>
        <v>2</v>
      </c>
    </row>
  </sheetData>
  <autoFilter ref="A5:Q22"/>
  <mergeCells count="21">
    <mergeCell ref="I4:L4"/>
    <mergeCell ref="A29:D29"/>
    <mergeCell ref="A43:D43"/>
    <mergeCell ref="A1:Q1"/>
    <mergeCell ref="A44:D44"/>
    <mergeCell ref="F43:M44"/>
    <mergeCell ref="A31:D31"/>
    <mergeCell ref="A34:D34"/>
    <mergeCell ref="A48:D48"/>
    <mergeCell ref="A30:D30"/>
    <mergeCell ref="N4:Q4"/>
    <mergeCell ref="F29:M30"/>
    <mergeCell ref="A45:D45"/>
    <mergeCell ref="A42:H42"/>
    <mergeCell ref="A2:Q2"/>
    <mergeCell ref="A46:D46"/>
    <mergeCell ref="A4:H4"/>
    <mergeCell ref="A28:H28"/>
    <mergeCell ref="A33:D33"/>
    <mergeCell ref="A47:D47"/>
    <mergeCell ref="A32:D32"/>
  </mergeCells>
  <conditionalFormatting sqref="L6:L26">
    <cfRule type="expression" dxfId="0" priority="1">
      <formula>AND(ISNUMBER(L6),L6&gt;=SeuilCritique)</formula>
    </cfRule>
  </conditionalFormatting>
  <conditionalFormatting sqref="L6:L26">
    <cfRule type="expression" dxfId="1" priority="2">
      <formula>AND(ISNUMBER(L6),L6&gt;=SeuilSurveillance)</formula>
    </cfRule>
  </conditionalFormatting>
  <conditionalFormatting sqref="L6:L26">
    <cfRule type="expression" dxfId="2" priority="3">
      <formula>ISNUMBER(L6)</formula>
    </cfRule>
  </conditionalFormatting>
  <conditionalFormatting sqref="Q6:Q26">
    <cfRule type="expression" dxfId="0" priority="4">
      <formula>AND(ISNUMBER(Q6),Q6&gt;=SeuilCritique)</formula>
    </cfRule>
  </conditionalFormatting>
  <conditionalFormatting sqref="Q6:Q26">
    <cfRule type="expression" dxfId="1" priority="5">
      <formula>AND(ISNUMBER(Q6),Q6&gt;=SeuilSurveillance)</formula>
    </cfRule>
  </conditionalFormatting>
  <conditionalFormatting sqref="Q6:Q26">
    <cfRule type="expression" dxfId="2" priority="6">
      <formula>ISNUMBER(Q6)</formula>
    </cfRule>
  </conditionalFormatting>
  <conditionalFormatting sqref="I6:I26">
    <cfRule type="expression" dxfId="3" priority="7">
      <formula>I6&gt;=9</formula>
    </cfRule>
  </conditionalFormatting>
  <conditionalFormatting sqref="N6:N26">
    <cfRule type="expression" dxfId="3" priority="8">
      <formula>AND(ISNUMBER(N6),N6&gt;=9)</formula>
    </cfRule>
  </conditionalFormatting>
  <dataValidations count="1">
    <dataValidation type="whole" allowBlank="1" showErrorMessage="1" errorTitle="Cotation" error="Note entière de 1 à 10" sqref="I6:K26 N6:P26">
      <formula1>1</formula1>
      <formula2>10</formula2>
    </dataValidation>
  </dataValidations>
  <printOptions horizontalCentered="1"/>
  <pageMargins left="0.4000000059604645" right="0.4000000059604645" top="1" bottom="1" header="0.5118110179901123" footer="0.5"/>
  <pageSetup paperSize="8" fitToWidth="1" fitToHeight="0" orientation="landscape"/>
  <headerFooter>
    <oddFooter>&amp;CAMDEC alimentation de secours — 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E75B6"/>
    <pageSetUpPr fitToPage="1"/>
  </sheetPr>
  <dimension ref="A1:H21"/>
  <sheetViews>
    <sheetView showGridLines="0" workbookViewId="0">
      <selection activeCell="A1" sqref="A1"/>
    </sheetView>
  </sheetViews>
  <sheetFormatPr defaultColWidth="8.7109375" defaultRowHeight="15"/>
  <cols>
    <col min="1" max="1" width="40.00390625" customWidth="1"/>
    <col min="2" max="2" width="9.00390625" customWidth="1"/>
    <col min="3" max="3" width="3.00390625" customWidth="1"/>
    <col min="4" max="4" width="36.00390625" customWidth="1"/>
    <col min="5" max="5" width="9.00390625" customWidth="1"/>
    <col min="6" max="6" width="3.00390625" customWidth="1"/>
    <col min="7" max="7" width="26.00390625" customWidth="1"/>
    <col min="8" max="8" width="9.00390625" customWidth="1"/>
  </cols>
  <sheetData>
    <row r="1" ht="21.82" customHeight="1">
      <c r="A1" s="19" t="s">
        <v>140</v>
      </c>
    </row>
    <row r="2">
      <c r="A2" s="20" t="s">
        <v>141</v>
      </c>
    </row>
    <row r="4" ht="15" customHeight="1">
      <c r="A4" s="21" t="s">
        <v>142</v>
      </c>
      <c r="D4" s="22" t="s">
        <v>143</v>
      </c>
      <c r="G4" s="23" t="s">
        <v>144</v>
      </c>
    </row>
    <row r="5">
      <c r="A5" s="24" t="s">
        <v>145</v>
      </c>
      <c r="B5" s="24" t="s">
        <v>146</v>
      </c>
      <c r="D5" s="25" t="s">
        <v>145</v>
      </c>
      <c r="E5" s="25" t="s">
        <v>146</v>
      </c>
      <c r="G5" s="26" t="s">
        <v>145</v>
      </c>
      <c r="H5" s="26" t="s">
        <v>146</v>
      </c>
    </row>
    <row r="6" ht="30" customHeight="1">
      <c r="A6" s="27" t="s">
        <v>147</v>
      </c>
      <c r="B6" s="28">
        <v>1</v>
      </c>
      <c r="D6" s="27" t="s">
        <v>148</v>
      </c>
      <c r="E6" s="28" t="s">
        <v>149</v>
      </c>
      <c r="G6" s="27" t="s">
        <v>150</v>
      </c>
      <c r="H6" s="28" t="s">
        <v>149</v>
      </c>
    </row>
    <row r="7" ht="30" customHeight="1">
      <c r="A7" s="27" t="s">
        <v>151</v>
      </c>
      <c r="B7" s="29">
        <v>2</v>
      </c>
      <c r="D7" s="27" t="s">
        <v>152</v>
      </c>
      <c r="E7" s="29" t="s">
        <v>153</v>
      </c>
      <c r="G7" s="27" t="s">
        <v>154</v>
      </c>
      <c r="H7" s="29" t="s">
        <v>153</v>
      </c>
    </row>
    <row r="8" ht="30" customHeight="1">
      <c r="A8" s="27" t="s">
        <v>155</v>
      </c>
      <c r="B8" s="30" t="s">
        <v>156</v>
      </c>
      <c r="D8" s="27" t="s">
        <v>157</v>
      </c>
      <c r="E8" s="30" t="s">
        <v>158</v>
      </c>
      <c r="G8" s="27" t="s">
        <v>159</v>
      </c>
      <c r="H8" s="30" t="s">
        <v>158</v>
      </c>
    </row>
    <row r="9" ht="30" customHeight="1">
      <c r="A9" s="27" t="s">
        <v>160</v>
      </c>
      <c r="B9" s="31" t="s">
        <v>161</v>
      </c>
      <c r="D9" s="27" t="s">
        <v>162</v>
      </c>
      <c r="E9" s="31" t="s">
        <v>163</v>
      </c>
      <c r="G9" s="27" t="s">
        <v>164</v>
      </c>
      <c r="H9" s="31" t="s">
        <v>163</v>
      </c>
    </row>
    <row r="10" ht="30" customHeight="1">
      <c r="A10" s="27" t="s">
        <v>165</v>
      </c>
      <c r="B10" s="32" t="s">
        <v>166</v>
      </c>
      <c r="D10" s="27" t="s">
        <v>167</v>
      </c>
      <c r="E10" s="32" t="s">
        <v>166</v>
      </c>
      <c r="G10" s="27" t="s">
        <v>168</v>
      </c>
      <c r="H10" s="32" t="s">
        <v>166</v>
      </c>
    </row>
    <row r="13" ht="16.5" customHeight="1">
      <c r="A13" s="33" t="s">
        <v>169</v>
      </c>
    </row>
    <row r="14">
      <c r="A14" s="34" t="s">
        <v>170</v>
      </c>
      <c r="B14" s="35">
        <f>1/6</f>
        <v>0.16666666666666666</v>
      </c>
      <c r="D14" s="36" t="s">
        <v>171</v>
      </c>
    </row>
    <row r="15" ht="15" customHeight="1">
      <c r="A15" s="34" t="s">
        <v>172</v>
      </c>
      <c r="B15" s="37" t="s">
        <v>173</v>
      </c>
      <c r="C15" s="43"/>
      <c r="D15" s="43"/>
      <c r="E15" s="43"/>
    </row>
    <row r="17" ht="16.5" customHeight="1">
      <c r="A17" s="33" t="s">
        <v>174</v>
      </c>
    </row>
    <row r="18">
      <c r="A18" s="38" t="s">
        <v>175</v>
      </c>
      <c r="B18" s="39">
        <v>125</v>
      </c>
    </row>
    <row r="19">
      <c r="A19" s="40" t="s">
        <v>176</v>
      </c>
      <c r="B19" s="39">
        <v>60</v>
      </c>
    </row>
    <row r="20">
      <c r="A20" s="41" t="s">
        <v>177</v>
      </c>
      <c r="B20" s="42" t="str">
        <f>"&lt; "&amp;B19</f>
        <v>&lt; 60</v>
      </c>
    </row>
    <row r="21">
      <c r="A21" s="36" t="s">
        <v>178</v>
      </c>
    </row>
  </sheetData>
  <mergeCells count="4">
    <mergeCell ref="A4:B4"/>
    <mergeCell ref="G4:H4"/>
    <mergeCell ref="D4:E4"/>
    <mergeCell ref="B15:E15"/>
  </mergeCells>
  <printOptions horizontalCentered="1"/>
  <pageMargins left="0.4000000059604645" right="0.4000000059604645" top="1" bottom="1" header="0.5118110179901123" footer="0.5118110179901123"/>
  <pageSetup paperSize="9" fitToWidth="1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</cp:coreProperties>
</file>